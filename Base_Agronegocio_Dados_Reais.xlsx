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ILE-TI\Downloads\"/>
    </mc:Choice>
  </mc:AlternateContent>
  <xr:revisionPtr revIDLastSave="0" documentId="13_ncr:1_{29D2A912-DC69-471F-8D2F-837E784A1E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30" i="1"/>
</calcChain>
</file>

<file path=xl/sharedStrings.xml><?xml version="1.0" encoding="utf-8"?>
<sst xmlns="http://schemas.openxmlformats.org/spreadsheetml/2006/main" count="90" uniqueCount="37">
  <si>
    <t>Nivel_tecnologico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</si>
  <si>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</si>
  <si>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</si>
  <si>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</si>
  <si>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</si>
  <si>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</si>
  <si>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</si>
  <si>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</si>
  <si>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</si>
  <si>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</si>
  <si>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</si>
  <si>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</si>
  <si>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</si>
  <si>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</si>
  <si>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</si>
  <si>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</si>
  <si>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</si>
  <si>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</si>
  <si>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</si>
  <si>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</si>
  <si>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Guanabara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</si>
  <si>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</si>
  <si>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</si>
  <si>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</si>
  <si>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</si>
  <si>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</si>
  <si>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</si>
  <si>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</si>
  <si>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</si>
  <si>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-</t>
  </si>
  <si>
    <t>...</t>
  </si>
  <si>
    <t xml:space="preserve">Unidade da Federação	</t>
  </si>
  <si>
    <t>Área plantada (Hectares)</t>
  </si>
  <si>
    <t>Área colhida (Hectares)</t>
  </si>
  <si>
    <t>Quantidade produzida (Toneladas)</t>
  </si>
  <si>
    <t xml:space="preserve"> Rendimento médio da produção (Quilogramas por Hectare)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</si>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</sst>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/>
  </sheetViews>
  <sheetFormatPr defaultRowHeight="14.5" x14ac:dyDescent="0.35"/>
  <cols>
    <col min="1" max="2" width="19.90625" style="1" customWidth="1"/>
    <col min="3" max="3" width="21.7265625" style="1" customWidth="1"/>
    <col min="4" max="4" width="20.6328125" style="1" customWidth="1"/>
    <col min="5" max="5" width="27.90625" style="1" customWidth="1"/>
    <col min="6" max="6" width="30.90625" style="1" customWidth="1"/>
    <col min="7" max="7" width="29.7265625" style="1" customWidth="1"/>
  </cols>
  <sheetData>
    <row r="1" spans="1:7" ht="24" x14ac:dyDescent="0.35">
      <c r="A1" s="2" t="s">
        <v>31</v>
      </c>
      <c r="B1" s="2" t="s">
        <v>36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0</v>
      </c>
    </row>
    <row r="2" spans="1:7" x14ac:dyDescent="0.35">
      <c r="A2" s="1" t="s">
        <v>1</v>
      </c>
      <c r="B2" s="1">
        <v>2022</v>
      </c>
      <c r="C2" s="1">
        <v>489526</v>
      </c>
      <c r="D2" s="1">
        <v>489526</v>
      </c>
      <c r="E2" s="1">
        <v>1750249</v>
      </c>
      <c r="F2" s="1">
        <v>3575</v>
      </c>
      <c r="G2" s="1" t="str">
        <f>IF(F2&lt;=3000,"Baixo",IF(F2&lt;=3500,"Médio","Alto"))</f>
        <v>Alto</v>
      </c>
    </row>
    <row r="3" spans="1:7" x14ac:dyDescent="0.35">
      <c r="A3" s="1" t="s">
        <v>2</v>
      </c>
      <c r="B3" s="1">
        <v>2022</v>
      </c>
      <c r="C3" s="1">
        <v>6570</v>
      </c>
      <c r="D3" s="1">
        <v>6570</v>
      </c>
      <c r="E3" s="1">
        <v>22667</v>
      </c>
      <c r="F3" s="1">
        <v>3450</v>
      </c>
      <c r="G3" s="1" t="str">
        <f>IF(F3&lt;=3000,"Baixo",IF(F3&lt;=3500,"Médio","Alto"))</f>
        <v>Médio</v>
      </c>
    </row>
    <row r="4" spans="1:7" x14ac:dyDescent="0.35">
      <c r="A4" s="1" t="s">
        <v>3</v>
      </c>
      <c r="B4" s="1">
        <v>2022</v>
      </c>
      <c r="C4" s="1">
        <v>5900</v>
      </c>
      <c r="D4" s="1">
        <v>5900</v>
      </c>
      <c r="E4" s="1">
        <v>13740</v>
      </c>
      <c r="F4" s="1">
        <v>2329</v>
      </c>
      <c r="G4" s="1" t="str">
        <f>IF(F4&lt;=3000,"Baixo",IF(F4&lt;=3500,"Médio","Alto"))</f>
        <v>Baixo</v>
      </c>
    </row>
    <row r="5" spans="1:7" x14ac:dyDescent="0.35">
      <c r="A5" s="1" t="s">
        <v>4</v>
      </c>
      <c r="B5" s="1">
        <v>2022</v>
      </c>
      <c r="C5" s="1">
        <v>102785</v>
      </c>
      <c r="D5" s="1">
        <v>102785</v>
      </c>
      <c r="E5" s="1">
        <v>346647</v>
      </c>
      <c r="F5" s="1">
        <v>3373</v>
      </c>
      <c r="G5" s="1" t="str">
        <f>IF(F5&lt;=3000,"Baixo",IF(F5&lt;=3500,"Médio","Alto"))</f>
        <v>Médio</v>
      </c>
    </row>
    <row r="6" spans="1:7" x14ac:dyDescent="0.35">
      <c r="A6" s="1" t="s">
        <v>5</v>
      </c>
      <c r="B6" s="1">
        <v>2022</v>
      </c>
      <c r="C6" s="1">
        <v>839560</v>
      </c>
      <c r="D6" s="1">
        <v>839560</v>
      </c>
      <c r="E6" s="1">
        <v>2574954</v>
      </c>
      <c r="F6" s="1">
        <v>3067</v>
      </c>
      <c r="G6" s="1" t="str">
        <f>IF(F6&lt;=3000,"Baixo",IF(F6&lt;=3500,"Médio","Alto"))</f>
        <v>Médio</v>
      </c>
    </row>
    <row r="7" spans="1:7" x14ac:dyDescent="0.35">
      <c r="A7" s="1" t="s">
        <v>6</v>
      </c>
      <c r="B7" s="1">
        <v>2022</v>
      </c>
      <c r="C7" s="1">
        <v>6504</v>
      </c>
      <c r="D7" s="1">
        <v>6500</v>
      </c>
      <c r="E7" s="1">
        <v>18035</v>
      </c>
      <c r="F7" s="1">
        <v>2775</v>
      </c>
      <c r="G7" s="1" t="str">
        <f>IF(F7&lt;=3000,"Baixo",IF(F7&lt;=3500,"Médio","Alto"))</f>
        <v>Baixo</v>
      </c>
    </row>
    <row r="8" spans="1:7" x14ac:dyDescent="0.35">
      <c r="A8" s="1" t="s">
        <v>7</v>
      </c>
      <c r="B8" s="1">
        <v>2022</v>
      </c>
      <c r="C8" s="1">
        <v>1167122</v>
      </c>
      <c r="D8" s="1">
        <v>1166489</v>
      </c>
      <c r="E8" s="1">
        <v>3785386</v>
      </c>
      <c r="F8" s="1">
        <v>3245</v>
      </c>
      <c r="G8" s="1" t="str">
        <f>IF(F8&lt;=3000,"Baixo",IF(F8&lt;=3500,"Médio","Alto"))</f>
        <v>Médio</v>
      </c>
    </row>
    <row r="9" spans="1:7" x14ac:dyDescent="0.35">
      <c r="A9" s="1" t="s">
        <v>8</v>
      </c>
      <c r="B9" s="1">
        <v>2022</v>
      </c>
      <c r="C9" s="1">
        <v>1099871</v>
      </c>
      <c r="D9" s="1">
        <v>1099871</v>
      </c>
      <c r="E9" s="1">
        <v>3537377</v>
      </c>
      <c r="F9" s="1">
        <v>3216</v>
      </c>
      <c r="G9" s="1" t="str">
        <f>IF(F9&lt;=3000,"Baixo",IF(F9&lt;=3500,"Médio","Alto"))</f>
        <v>Médio</v>
      </c>
    </row>
    <row r="10" spans="1:7" x14ac:dyDescent="0.35">
      <c r="A10" s="1" t="s">
        <v>9</v>
      </c>
      <c r="B10" s="1">
        <v>2022</v>
      </c>
      <c r="C10" s="1">
        <v>872906</v>
      </c>
      <c r="D10" s="1">
        <v>872906</v>
      </c>
      <c r="E10" s="1">
        <v>3077485</v>
      </c>
      <c r="F10" s="1">
        <v>3526</v>
      </c>
      <c r="G10" s="1" t="str">
        <f>IF(F10&lt;=3000,"Baixo",IF(F10&lt;=3500,"Médio","Alto"))</f>
        <v>Alto</v>
      </c>
    </row>
    <row r="11" spans="1:7" x14ac:dyDescent="0.35">
      <c r="A11" s="1" t="s">
        <v>10</v>
      </c>
      <c r="B11" s="1">
        <v>2022</v>
      </c>
      <c r="C11" s="1">
        <v>2220</v>
      </c>
      <c r="D11" s="1">
        <v>2220</v>
      </c>
      <c r="E11" s="1">
        <v>7740</v>
      </c>
      <c r="F11" s="1">
        <v>3486</v>
      </c>
      <c r="G11" s="1" t="str">
        <f>IF(F11&lt;=3000,"Baixo",IF(F11&lt;=3500,"Médio","Alto"))</f>
        <v>Médio</v>
      </c>
    </row>
    <row r="12" spans="1:7" x14ac:dyDescent="0.35">
      <c r="A12" s="1" t="s">
        <v>11</v>
      </c>
      <c r="B12" s="1">
        <v>2022</v>
      </c>
      <c r="C12" s="1" t="s">
        <v>29</v>
      </c>
      <c r="D12" s="1" t="s">
        <v>29</v>
      </c>
      <c r="E12" s="1" t="s">
        <v>29</v>
      </c>
      <c r="F12" s="1" t="s">
        <v>29</v>
      </c>
      <c r="G12" s="1" t="str">
        <f>IF(F12&lt;=3000,"Baixo",IF(F12&lt;=3500,"Médio","Alto"))</f>
        <v>Alto</v>
      </c>
    </row>
    <row r="13" spans="1:7" x14ac:dyDescent="0.35">
      <c r="A13" s="1" t="s">
        <v>12</v>
      </c>
      <c r="B13" s="1">
        <v>2022</v>
      </c>
      <c r="C13" s="1">
        <v>37</v>
      </c>
      <c r="D13" s="1">
        <v>37</v>
      </c>
      <c r="E13" s="1">
        <v>56</v>
      </c>
      <c r="F13" s="1">
        <v>1514</v>
      </c>
      <c r="G13" s="1" t="str">
        <f>IF(F13&lt;=3000,"Baixo",IF(F13&lt;=3500,"Médio","Alto"))</f>
        <v>Baixo</v>
      </c>
    </row>
    <row r="14" spans="1:7" x14ac:dyDescent="0.35">
      <c r="A14" s="1" t="s">
        <v>13</v>
      </c>
      <c r="B14" s="1">
        <v>2022</v>
      </c>
      <c r="C14" s="1" t="s">
        <v>29</v>
      </c>
      <c r="D14" s="1" t="s">
        <v>29</v>
      </c>
      <c r="E14" s="1" t="s">
        <v>29</v>
      </c>
      <c r="F14" s="1" t="s">
        <v>29</v>
      </c>
      <c r="G14" s="1" t="str">
        <f>IF(F14&lt;=3000,"Baixo",IF(F14&lt;=3500,"Médio","Alto"))</f>
        <v>Alto</v>
      </c>
    </row>
    <row r="15" spans="1:7" x14ac:dyDescent="0.35">
      <c r="A15" s="1" t="s">
        <v>14</v>
      </c>
      <c r="B15" s="1">
        <v>2022</v>
      </c>
      <c r="C15" s="1">
        <v>3686</v>
      </c>
      <c r="D15" s="1">
        <v>3416</v>
      </c>
      <c r="E15" s="1">
        <v>11242</v>
      </c>
      <c r="F15" s="1">
        <v>3291</v>
      </c>
      <c r="G15" s="1" t="str">
        <f>IF(F15&lt;=3000,"Baixo",IF(F15&lt;=3500,"Médio","Alto"))</f>
        <v>Médio</v>
      </c>
    </row>
    <row r="16" spans="1:7" x14ac:dyDescent="0.35">
      <c r="A16" s="1" t="s">
        <v>15</v>
      </c>
      <c r="B16" s="1">
        <v>2022</v>
      </c>
      <c r="C16" s="1" t="s">
        <v>29</v>
      </c>
      <c r="D16" s="1" t="s">
        <v>29</v>
      </c>
      <c r="E16" s="1" t="s">
        <v>29</v>
      </c>
      <c r="F16" s="1" t="s">
        <v>29</v>
      </c>
      <c r="G16" s="1" t="str">
        <f>IF(F16&lt;=3000,"Baixo",IF(F16&lt;=3500,"Médio","Alto"))</f>
        <v>Alto</v>
      </c>
    </row>
    <row r="17" spans="1:7" x14ac:dyDescent="0.35">
      <c r="A17" s="1" t="s">
        <v>16</v>
      </c>
      <c r="B17" s="1">
        <v>2022</v>
      </c>
      <c r="C17" s="1">
        <v>1774655</v>
      </c>
      <c r="D17" s="1">
        <v>1774655</v>
      </c>
      <c r="E17" s="1">
        <v>6958197</v>
      </c>
      <c r="F17" s="1">
        <v>3921</v>
      </c>
      <c r="G17" s="1" t="str">
        <f>IF(F17&lt;=3000,"Baixo",IF(F17&lt;=3500,"Médio","Alto"))</f>
        <v>Alto</v>
      </c>
    </row>
    <row r="18" spans="1:7" x14ac:dyDescent="0.35">
      <c r="A18" s="1" t="s">
        <v>17</v>
      </c>
      <c r="B18" s="1">
        <v>2022</v>
      </c>
      <c r="C18" s="1">
        <v>2022682</v>
      </c>
      <c r="D18" s="1">
        <v>2022682</v>
      </c>
      <c r="E18" s="1">
        <v>7639648</v>
      </c>
      <c r="F18" s="1">
        <v>3777</v>
      </c>
      <c r="G18" s="1" t="str">
        <f>IF(F18&lt;=3000,"Baixo",IF(F18&lt;=3500,"Médio","Alto"))</f>
        <v>Alto</v>
      </c>
    </row>
    <row r="19" spans="1:7" x14ac:dyDescent="0.35">
      <c r="A19" s="1" t="s">
        <v>18</v>
      </c>
      <c r="B19" s="1">
        <v>2022</v>
      </c>
      <c r="C19" s="1">
        <v>80</v>
      </c>
      <c r="D19" s="1">
        <v>80</v>
      </c>
      <c r="E19" s="1">
        <v>200</v>
      </c>
      <c r="F19" s="1">
        <v>2500</v>
      </c>
      <c r="G19" s="1" t="str">
        <f>IF(F19&lt;=3000,"Baixo",IF(F19&lt;=3500,"Médio","Alto"))</f>
        <v>Baixo</v>
      </c>
    </row>
    <row r="20" spans="1:7" x14ac:dyDescent="0.35">
      <c r="A20" s="1" t="s">
        <v>19</v>
      </c>
      <c r="B20" s="1">
        <v>2022</v>
      </c>
      <c r="C20" s="1">
        <v>242</v>
      </c>
      <c r="D20" s="1">
        <v>242</v>
      </c>
      <c r="E20" s="1">
        <v>953</v>
      </c>
      <c r="F20" s="1">
        <v>3938</v>
      </c>
      <c r="G20" s="1" t="str">
        <f>IF(F20&lt;=3000,"Baixo",IF(F20&lt;=3500,"Médio","Alto"))</f>
        <v>Alto</v>
      </c>
    </row>
    <row r="21" spans="1:7" x14ac:dyDescent="0.35">
      <c r="A21" s="1" t="s">
        <v>20</v>
      </c>
      <c r="B21" s="1">
        <v>2022</v>
      </c>
      <c r="C21" s="1" t="s">
        <v>30</v>
      </c>
      <c r="D21" s="1" t="s">
        <v>30</v>
      </c>
      <c r="E21" s="1" t="s">
        <v>30</v>
      </c>
      <c r="F21" s="1" t="s">
        <v>30</v>
      </c>
      <c r="G21" s="1" t="str">
        <f>IF(F21&lt;=3000,"Baixo",IF(F21&lt;=3500,"Médio","Alto"))</f>
        <v>Alto</v>
      </c>
    </row>
    <row r="22" spans="1:7" x14ac:dyDescent="0.35">
      <c r="A22" s="1" t="s">
        <v>21</v>
      </c>
      <c r="B22" s="1">
        <v>2022</v>
      </c>
      <c r="C22" s="1">
        <v>1252070</v>
      </c>
      <c r="D22" s="1">
        <v>1252070</v>
      </c>
      <c r="E22" s="1">
        <v>4478064</v>
      </c>
      <c r="F22" s="1">
        <v>3577</v>
      </c>
      <c r="G22" s="1" t="str">
        <f>IF(F22&lt;=3000,"Baixo",IF(F22&lt;=3500,"Médio","Alto"))</f>
        <v>Alto</v>
      </c>
    </row>
    <row r="23" spans="1:7" x14ac:dyDescent="0.35">
      <c r="A23" s="1" t="s">
        <v>22</v>
      </c>
      <c r="B23" s="1">
        <v>2022</v>
      </c>
      <c r="C23" s="1">
        <v>5683194</v>
      </c>
      <c r="D23" s="1">
        <v>5652609</v>
      </c>
      <c r="E23" s="1">
        <v>13454457</v>
      </c>
      <c r="F23" s="1">
        <v>2380</v>
      </c>
      <c r="G23" s="1" t="str">
        <f>IF(F23&lt;=3000,"Baixo",IF(F23&lt;=3500,"Médio","Alto"))</f>
        <v>Baixo</v>
      </c>
    </row>
    <row r="24" spans="1:7" x14ac:dyDescent="0.35">
      <c r="A24" s="1" t="s">
        <v>23</v>
      </c>
      <c r="B24" s="1">
        <v>2022</v>
      </c>
      <c r="C24" s="1">
        <v>754520</v>
      </c>
      <c r="D24" s="1">
        <v>752930</v>
      </c>
      <c r="E24" s="1">
        <v>2159405</v>
      </c>
      <c r="F24" s="1">
        <v>2868</v>
      </c>
      <c r="G24" s="1" t="str">
        <f>IF(F24&lt;=3000,"Baixo",IF(F24&lt;=3500,"Médio","Alto"))</f>
        <v>Baixo</v>
      </c>
    </row>
    <row r="25" spans="1:7" x14ac:dyDescent="0.35">
      <c r="A25" s="1" t="s">
        <v>24</v>
      </c>
      <c r="B25" s="1">
        <v>2022</v>
      </c>
      <c r="C25" s="1">
        <v>6387670</v>
      </c>
      <c r="D25" s="1">
        <v>6215638</v>
      </c>
      <c r="E25" s="1">
        <v>9370339</v>
      </c>
      <c r="F25" s="1">
        <v>1508</v>
      </c>
      <c r="G25" s="1" t="str">
        <f>IF(F25&lt;=3000,"Baixo",IF(F25&lt;=3500,"Médio","Alto"))</f>
        <v>Baixo</v>
      </c>
    </row>
    <row r="26" spans="1:7" x14ac:dyDescent="0.35">
      <c r="A26" s="1" t="s">
        <v>25</v>
      </c>
      <c r="B26" s="1">
        <v>2022</v>
      </c>
      <c r="C26" s="1">
        <v>3694468</v>
      </c>
      <c r="D26" s="1">
        <v>3653429</v>
      </c>
      <c r="E26" s="1">
        <v>8538611</v>
      </c>
      <c r="F26" s="1">
        <v>2337</v>
      </c>
      <c r="G26" s="1" t="str">
        <f>IF(F26&lt;=3000,"Baixo",IF(F26&lt;=3500,"Médio","Alto"))</f>
        <v>Baixo</v>
      </c>
    </row>
    <row r="27" spans="1:7" x14ac:dyDescent="0.35">
      <c r="A27" s="1" t="s">
        <v>26</v>
      </c>
      <c r="B27" s="1">
        <v>2022</v>
      </c>
      <c r="C27" s="1">
        <v>10925226</v>
      </c>
      <c r="D27" s="1">
        <v>10924622</v>
      </c>
      <c r="E27" s="1">
        <v>38025387</v>
      </c>
      <c r="F27" s="1">
        <v>3481</v>
      </c>
      <c r="G27" s="1" t="str">
        <f>IF(F27&lt;=3000,"Baixo",IF(F27&lt;=3500,"Médio","Alto"))</f>
        <v>Médio</v>
      </c>
    </row>
    <row r="28" spans="1:7" x14ac:dyDescent="0.35">
      <c r="A28" s="1" t="s">
        <v>27</v>
      </c>
      <c r="B28" s="1">
        <v>2022</v>
      </c>
      <c r="C28" s="1">
        <v>4121969</v>
      </c>
      <c r="D28" s="1">
        <v>4121969</v>
      </c>
      <c r="E28" s="1">
        <v>15216144</v>
      </c>
      <c r="F28" s="1">
        <v>3691</v>
      </c>
      <c r="G28" s="1" t="str">
        <f>IF(F28&lt;=3000,"Baixo",IF(F28&lt;=3500,"Médio","Alto"))</f>
        <v>Alto</v>
      </c>
    </row>
    <row r="29" spans="1:7" x14ac:dyDescent="0.35">
      <c r="A29" s="1" t="s">
        <v>28</v>
      </c>
      <c r="B29" s="1">
        <v>2022</v>
      </c>
      <c r="C29" s="1">
        <v>84200</v>
      </c>
      <c r="D29" s="1">
        <v>84200</v>
      </c>
      <c r="E29" s="1">
        <v>303120</v>
      </c>
      <c r="F29" s="1">
        <v>3600</v>
      </c>
      <c r="G29" s="1" t="str">
        <f>IF(F29&lt;=3000,"Baixo",IF(F29&lt;=3500,"Médio","Alto"))</f>
        <v>Alto</v>
      </c>
    </row>
    <row r="30" spans="1:7" x14ac:dyDescent="0.35">
      <c r="A30" s="1" t="s">
        <v>1</v>
      </c>
      <c r="B30" s="1">
        <v>2023</v>
      </c>
      <c r="C30" s="1">
        <v>589983</v>
      </c>
      <c r="D30" s="1">
        <v>589263</v>
      </c>
      <c r="E30" s="1">
        <v>2131535</v>
      </c>
      <c r="F30" s="1">
        <v>3617</v>
      </c>
      <c r="G30" s="1" t="str">
        <f>IF(F30&lt;=3000,"Baixo",IF(F30&lt;=3500,"Médio","Alto"))</f>
        <v>Alto</v>
      </c>
    </row>
    <row r="31" spans="1:7" x14ac:dyDescent="0.35">
      <c r="A31" s="1" t="s">
        <v>2</v>
      </c>
      <c r="B31" s="1">
        <v>2023</v>
      </c>
      <c r="C31" s="1">
        <v>12010</v>
      </c>
      <c r="D31" s="1">
        <v>12010</v>
      </c>
      <c r="E31" s="1">
        <v>45732</v>
      </c>
      <c r="F31" s="1">
        <v>3808</v>
      </c>
      <c r="G31" s="1" t="str">
        <f>IF(F31&lt;=3000,"Baixo",IF(F31&lt;=3500,"Médio","Alto"))</f>
        <v>Alto</v>
      </c>
    </row>
    <row r="32" spans="1:7" x14ac:dyDescent="0.35">
      <c r="A32" s="1" t="s">
        <v>3</v>
      </c>
      <c r="B32" s="1">
        <v>2023</v>
      </c>
      <c r="C32" s="1">
        <v>8237</v>
      </c>
      <c r="D32" s="1">
        <v>8237</v>
      </c>
      <c r="E32" s="1">
        <v>23455</v>
      </c>
      <c r="F32" s="1">
        <v>2848</v>
      </c>
      <c r="G32" s="1" t="str">
        <f>IF(F32&lt;=3000,"Baixo",IF(F32&lt;=3500,"Médio","Alto"))</f>
        <v>Baixo</v>
      </c>
    </row>
    <row r="33" spans="1:7" x14ac:dyDescent="0.35">
      <c r="A33" s="1" t="s">
        <v>4</v>
      </c>
      <c r="B33" s="1">
        <v>2023</v>
      </c>
      <c r="C33" s="1">
        <v>128197</v>
      </c>
      <c r="D33" s="1">
        <v>128197</v>
      </c>
      <c r="E33" s="1">
        <v>445076</v>
      </c>
      <c r="F33" s="1">
        <v>3472</v>
      </c>
      <c r="G33" s="1" t="str">
        <f>IF(F33&lt;=3000,"Baixo",IF(F33&lt;=3500,"Médio","Alto"))</f>
        <v>Médio</v>
      </c>
    </row>
    <row r="34" spans="1:7" x14ac:dyDescent="0.35">
      <c r="A34" s="1" t="s">
        <v>5</v>
      </c>
      <c r="B34" s="1">
        <v>2023</v>
      </c>
      <c r="C34" s="1">
        <v>1007539</v>
      </c>
      <c r="D34" s="1">
        <v>1007539</v>
      </c>
      <c r="E34" s="1">
        <v>3156487</v>
      </c>
      <c r="F34" s="1">
        <v>3133</v>
      </c>
      <c r="G34" s="1" t="str">
        <f>IF(F34&lt;=3000,"Baixo",IF(F34&lt;=3500,"Médio","Alto"))</f>
        <v>Médio</v>
      </c>
    </row>
    <row r="35" spans="1:7" x14ac:dyDescent="0.35">
      <c r="A35" s="1" t="s">
        <v>6</v>
      </c>
      <c r="B35" s="1">
        <v>2023</v>
      </c>
      <c r="C35" s="1">
        <v>7350</v>
      </c>
      <c r="D35" s="1">
        <v>7350</v>
      </c>
      <c r="E35" s="1">
        <v>19536</v>
      </c>
      <c r="F35" s="1">
        <v>2658</v>
      </c>
      <c r="G35" s="1" t="str">
        <f>IF(F35&lt;=3000,"Baixo",IF(F35&lt;=3500,"Médio","Alto"))</f>
        <v>Baixo</v>
      </c>
    </row>
    <row r="36" spans="1:7" x14ac:dyDescent="0.35">
      <c r="A36" s="1" t="s">
        <v>7</v>
      </c>
      <c r="B36" s="1">
        <v>2023</v>
      </c>
      <c r="C36" s="1">
        <v>1331484</v>
      </c>
      <c r="D36" s="1">
        <v>1331473</v>
      </c>
      <c r="E36" s="1">
        <v>4340578</v>
      </c>
      <c r="F36" s="1">
        <v>3260</v>
      </c>
      <c r="G36" s="1" t="str">
        <f>IF(F36&lt;=3000,"Baixo",IF(F36&lt;=3500,"Médio","Alto"))</f>
        <v>Médio</v>
      </c>
    </row>
    <row r="37" spans="1:7" x14ac:dyDescent="0.35">
      <c r="A37" s="1" t="s">
        <v>8</v>
      </c>
      <c r="B37" s="1">
        <v>2023</v>
      </c>
      <c r="C37" s="1">
        <v>1190047</v>
      </c>
      <c r="D37" s="1">
        <v>1190047</v>
      </c>
      <c r="E37" s="1">
        <v>3821792</v>
      </c>
      <c r="F37" s="1">
        <v>3211</v>
      </c>
      <c r="G37" s="1" t="str">
        <f>IF(F37&lt;=3000,"Baixo",IF(F37&lt;=3500,"Médio","Alto"))</f>
        <v>Médio</v>
      </c>
    </row>
    <row r="38" spans="1:7" x14ac:dyDescent="0.35">
      <c r="A38" s="1" t="s">
        <v>9</v>
      </c>
      <c r="B38" s="1">
        <v>2023</v>
      </c>
      <c r="C38" s="1">
        <v>945551</v>
      </c>
      <c r="D38" s="1">
        <v>945551</v>
      </c>
      <c r="E38" s="1">
        <v>3389142</v>
      </c>
      <c r="F38" s="1">
        <v>3584</v>
      </c>
      <c r="G38" s="1" t="str">
        <f>IF(F38&lt;=3000,"Baixo",IF(F38&lt;=3500,"Médio","Alto"))</f>
        <v>Alto</v>
      </c>
    </row>
    <row r="39" spans="1:7" x14ac:dyDescent="0.35">
      <c r="A39" s="1" t="s">
        <v>10</v>
      </c>
      <c r="B39" s="1">
        <v>2023</v>
      </c>
      <c r="C39" s="1">
        <v>4944</v>
      </c>
      <c r="D39" s="1">
        <v>4944</v>
      </c>
      <c r="E39" s="1">
        <v>19113</v>
      </c>
      <c r="F39" s="1">
        <v>3866</v>
      </c>
      <c r="G39" s="1" t="str">
        <f>IF(F39&lt;=3000,"Baixo",IF(F39&lt;=3500,"Médio","Alto"))</f>
        <v>Alto</v>
      </c>
    </row>
    <row r="40" spans="1:7" x14ac:dyDescent="0.35">
      <c r="A40" s="1" t="s">
        <v>11</v>
      </c>
      <c r="B40" s="1">
        <v>2023</v>
      </c>
      <c r="C40" s="1">
        <v>100</v>
      </c>
      <c r="D40" s="1" t="s">
        <v>29</v>
      </c>
      <c r="E40" s="1" t="s">
        <v>29</v>
      </c>
      <c r="G40" s="1" t="str">
        <f>IF(F40&lt;=3000,"Baixo",IF(F40&lt;=3500,"Médio","Alto"))</f>
        <v>Baixo</v>
      </c>
    </row>
    <row r="41" spans="1:7" x14ac:dyDescent="0.35">
      <c r="A41" s="1" t="s">
        <v>12</v>
      </c>
      <c r="B41" s="1">
        <v>2023</v>
      </c>
      <c r="C41" s="1" t="s">
        <v>29</v>
      </c>
      <c r="D41" s="1" t="s">
        <v>29</v>
      </c>
      <c r="E41" s="1" t="s">
        <v>29</v>
      </c>
      <c r="G41" s="1" t="str">
        <f>IF(F41&lt;=3000,"Baixo",IF(F41&lt;=3500,"Médio","Alto"))</f>
        <v>Baixo</v>
      </c>
    </row>
    <row r="42" spans="1:7" x14ac:dyDescent="0.35">
      <c r="A42" s="1" t="s">
        <v>13</v>
      </c>
      <c r="B42" s="1">
        <v>2023</v>
      </c>
      <c r="C42" s="1">
        <v>100</v>
      </c>
      <c r="D42" s="1">
        <v>100</v>
      </c>
      <c r="E42" s="1">
        <v>400</v>
      </c>
      <c r="F42" s="1">
        <v>4000</v>
      </c>
      <c r="G42" s="1" t="str">
        <f>IF(F42&lt;=3000,"Baixo",IF(F42&lt;=3500,"Médio","Alto"))</f>
        <v>Alto</v>
      </c>
    </row>
    <row r="43" spans="1:7" x14ac:dyDescent="0.35">
      <c r="A43" s="1" t="s">
        <v>14</v>
      </c>
      <c r="B43" s="1">
        <v>2023</v>
      </c>
      <c r="C43" s="1">
        <v>5796</v>
      </c>
      <c r="D43" s="1">
        <v>5796</v>
      </c>
      <c r="E43" s="1">
        <v>18289</v>
      </c>
      <c r="F43" s="1">
        <v>3155</v>
      </c>
      <c r="G43" s="1" t="str">
        <f>IF(F43&lt;=3000,"Baixo",IF(F43&lt;=3500,"Médio","Alto"))</f>
        <v>Médio</v>
      </c>
    </row>
    <row r="44" spans="1:7" x14ac:dyDescent="0.35">
      <c r="A44" s="1" t="s">
        <v>15</v>
      </c>
      <c r="B44" s="1">
        <v>2023</v>
      </c>
      <c r="C44" s="1" t="s">
        <v>29</v>
      </c>
      <c r="D44" s="1" t="s">
        <v>29</v>
      </c>
      <c r="E44" s="1" t="s">
        <v>29</v>
      </c>
      <c r="G44" s="1" t="str">
        <f>IF(F44&lt;=3000,"Baixo",IF(F44&lt;=3500,"Médio","Alto"))</f>
        <v>Baixo</v>
      </c>
    </row>
    <row r="45" spans="1:7" x14ac:dyDescent="0.35">
      <c r="A45" s="1" t="s">
        <v>16</v>
      </c>
      <c r="B45" s="1">
        <v>2023</v>
      </c>
      <c r="C45" s="1">
        <v>1923627</v>
      </c>
      <c r="D45" s="1">
        <v>1923627</v>
      </c>
      <c r="E45" s="1">
        <v>7776560</v>
      </c>
      <c r="F45" s="1">
        <v>4043</v>
      </c>
      <c r="G45" s="1" t="str">
        <f>IF(F45&lt;=3000,"Baixo",IF(F45&lt;=3500,"Médio","Alto"))</f>
        <v>Alto</v>
      </c>
    </row>
    <row r="46" spans="1:7" x14ac:dyDescent="0.35">
      <c r="A46" s="1" t="s">
        <v>17</v>
      </c>
      <c r="B46" s="1">
        <v>2023</v>
      </c>
      <c r="C46" s="1">
        <v>2214362</v>
      </c>
      <c r="D46" s="1">
        <v>2214362</v>
      </c>
      <c r="E46" s="1">
        <v>8459161</v>
      </c>
      <c r="F46" s="1">
        <v>3820</v>
      </c>
      <c r="G46" s="1" t="str">
        <f>IF(F46&lt;=3000,"Baixo",IF(F46&lt;=3500,"Médio","Alto"))</f>
        <v>Alto</v>
      </c>
    </row>
    <row r="47" spans="1:7" x14ac:dyDescent="0.35">
      <c r="A47" s="1" t="s">
        <v>18</v>
      </c>
      <c r="B47" s="1">
        <v>2023</v>
      </c>
      <c r="C47" s="1">
        <v>1000</v>
      </c>
      <c r="D47" s="1">
        <v>1000</v>
      </c>
      <c r="E47" s="1">
        <v>3780</v>
      </c>
      <c r="F47" s="1">
        <v>3780</v>
      </c>
      <c r="G47" s="1" t="str">
        <f>IF(F47&lt;=3000,"Baixo",IF(F47&lt;=3500,"Médio","Alto"))</f>
        <v>Alto</v>
      </c>
    </row>
    <row r="48" spans="1:7" x14ac:dyDescent="0.35">
      <c r="A48" s="1" t="s">
        <v>19</v>
      </c>
      <c r="B48" s="1">
        <v>2023</v>
      </c>
      <c r="C48" s="1">
        <v>756</v>
      </c>
      <c r="D48" s="1">
        <v>756</v>
      </c>
      <c r="E48" s="1">
        <v>2577</v>
      </c>
      <c r="F48" s="1">
        <v>3409</v>
      </c>
      <c r="G48" s="1" t="str">
        <f>IF(F48&lt;=3000,"Baixo",IF(F48&lt;=3500,"Médio","Alto"))</f>
        <v>Médio</v>
      </c>
    </row>
    <row r="49" spans="1:7" x14ac:dyDescent="0.35">
      <c r="A49" s="1" t="s">
        <v>20</v>
      </c>
      <c r="B49" s="1">
        <v>2023</v>
      </c>
      <c r="C49" s="1" t="s">
        <v>30</v>
      </c>
      <c r="D49" s="1" t="s">
        <v>30</v>
      </c>
      <c r="E49" s="1" t="s">
        <v>30</v>
      </c>
      <c r="G49" s="1" t="str">
        <f>IF(F49&lt;=3000,"Baixo",IF(F49&lt;=3500,"Médio","Alto"))</f>
        <v>Baixo</v>
      </c>
    </row>
    <row r="50" spans="1:7" x14ac:dyDescent="0.35">
      <c r="A50" s="1" t="s">
        <v>21</v>
      </c>
      <c r="B50" s="1">
        <v>2023</v>
      </c>
      <c r="C50" s="1">
        <v>1360285</v>
      </c>
      <c r="D50" s="1">
        <v>1360285</v>
      </c>
      <c r="E50" s="1">
        <v>4962226</v>
      </c>
      <c r="F50" s="1">
        <v>3648</v>
      </c>
      <c r="G50" s="1" t="str">
        <f>IF(F50&lt;=3000,"Baixo",IF(F50&lt;=3500,"Médio","Alto"))</f>
        <v>Alto</v>
      </c>
    </row>
    <row r="51" spans="1:7" x14ac:dyDescent="0.35">
      <c r="A51" s="1" t="s">
        <v>22</v>
      </c>
      <c r="B51" s="1">
        <v>2023</v>
      </c>
      <c r="C51" s="1">
        <v>5762069</v>
      </c>
      <c r="D51" s="1">
        <v>5760969</v>
      </c>
      <c r="E51" s="1">
        <v>21553541</v>
      </c>
      <c r="F51" s="1">
        <v>3741</v>
      </c>
      <c r="G51" s="1" t="str">
        <f>IF(F51&lt;=3000,"Baixo",IF(F51&lt;=3500,"Médio","Alto"))</f>
        <v>Alto</v>
      </c>
    </row>
    <row r="52" spans="1:7" x14ac:dyDescent="0.35">
      <c r="A52" s="1" t="s">
        <v>23</v>
      </c>
      <c r="B52" s="1">
        <v>2023</v>
      </c>
      <c r="C52" s="1">
        <v>776923</v>
      </c>
      <c r="D52" s="1">
        <v>775673</v>
      </c>
      <c r="E52" s="1">
        <v>2951678</v>
      </c>
      <c r="F52" s="1">
        <v>3805</v>
      </c>
      <c r="G52" s="1" t="str">
        <f>IF(F52&lt;=3000,"Baixo",IF(F52&lt;=3500,"Médio","Alto"))</f>
        <v>Alto</v>
      </c>
    </row>
    <row r="53" spans="1:7" x14ac:dyDescent="0.35">
      <c r="A53" s="1" t="s">
        <v>24</v>
      </c>
      <c r="B53" s="1">
        <v>2023</v>
      </c>
      <c r="C53" s="1">
        <v>6642140</v>
      </c>
      <c r="D53" s="1">
        <v>6638890</v>
      </c>
      <c r="E53" s="1">
        <v>12693487</v>
      </c>
      <c r="F53" s="1">
        <v>1912</v>
      </c>
      <c r="G53" s="1" t="str">
        <f>IF(F53&lt;=3000,"Baixo",IF(F53&lt;=3500,"Médio","Alto"))</f>
        <v>Baixo</v>
      </c>
    </row>
    <row r="54" spans="1:7" x14ac:dyDescent="0.35">
      <c r="A54" s="1" t="s">
        <v>25</v>
      </c>
      <c r="B54" s="1">
        <v>2023</v>
      </c>
      <c r="C54" s="1">
        <v>3884468</v>
      </c>
      <c r="D54" s="1">
        <v>3884468</v>
      </c>
      <c r="E54" s="1">
        <v>14193250</v>
      </c>
      <c r="F54" s="1">
        <v>3654</v>
      </c>
      <c r="G54" s="1" t="str">
        <f>IF(F54&lt;=3000,"Baixo",IF(F54&lt;=3500,"Médio","Alto"))</f>
        <v>Alto</v>
      </c>
    </row>
    <row r="55" spans="1:7" x14ac:dyDescent="0.35">
      <c r="A55" s="1" t="s">
        <v>26</v>
      </c>
      <c r="B55" s="1">
        <v>2023</v>
      </c>
      <c r="C55" s="1">
        <v>11981285</v>
      </c>
      <c r="D55" s="1">
        <v>11981285</v>
      </c>
      <c r="E55" s="1">
        <v>44425783</v>
      </c>
      <c r="F55" s="1">
        <v>3708</v>
      </c>
      <c r="G55" s="1" t="str">
        <f>IF(F55&lt;=3000,"Baixo",IF(F55&lt;=3500,"Médio","Alto"))</f>
        <v>Alto</v>
      </c>
    </row>
    <row r="56" spans="1:7" x14ac:dyDescent="0.35">
      <c r="A56" s="1" t="s">
        <v>27</v>
      </c>
      <c r="B56" s="1">
        <v>2023</v>
      </c>
      <c r="C56" s="1">
        <v>4590730</v>
      </c>
      <c r="D56" s="1">
        <v>4590730</v>
      </c>
      <c r="E56" s="1">
        <v>17405060</v>
      </c>
      <c r="F56" s="1">
        <v>3791</v>
      </c>
      <c r="G56" s="1" t="str">
        <f>IF(F56&lt;=3000,"Baixo",IF(F56&lt;=3500,"Médio","Alto"))</f>
        <v>Alto</v>
      </c>
    </row>
    <row r="57" spans="1:7" x14ac:dyDescent="0.35">
      <c r="A57" s="1" t="s">
        <v>28</v>
      </c>
      <c r="B57" s="1">
        <v>2023</v>
      </c>
      <c r="C57" s="1">
        <v>85000</v>
      </c>
      <c r="D57" s="1">
        <v>85000</v>
      </c>
      <c r="E57" s="1">
        <v>306000</v>
      </c>
      <c r="F57" s="1">
        <v>3600</v>
      </c>
      <c r="G57" s="1" t="str">
        <f>IF(F57&lt;=3000,"Baixo",IF(F57&lt;=3500,"Médio","Alto"))</f>
        <v>Alto</v>
      </c>
    </row>
  </sheetData>
  <sortState xmlns:xlrd2="http://schemas.microsoft.com/office/spreadsheetml/2017/richdata2" ref="A2:G58">
    <sortCondition ref="B1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Renan Danilo dos Santos Pereira</cp:lastModifiedBy>
  <dcterms:created xsi:type="dcterms:W3CDTF">2025-04-13T23:13:01Z</dcterms:created>
  <dcterms:modified xsi:type="dcterms:W3CDTF">2025-04-13T23:30:30Z</dcterms:modified>
</cp:coreProperties>
</file>